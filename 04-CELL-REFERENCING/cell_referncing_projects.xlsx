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tanna/Documents/excel_micro_projects/04-CELL-REFERENCING/"/>
    </mc:Choice>
  </mc:AlternateContent>
  <xr:revisionPtr revIDLastSave="0" documentId="8_{AB18FEF7-9359-FA49-A3E5-075EAFA3BEF6}" xr6:coauthVersionLast="47" xr6:coauthVersionMax="47" xr10:uidLastSave="{00000000-0000-0000-0000-000000000000}"/>
  <bookViews>
    <workbookView xWindow="0" yWindow="0" windowWidth="38400" windowHeight="21600" xr2:uid="{2EE10012-4D39-9741-9808-9087FBC63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6" i="1"/>
  <c r="J25" i="1"/>
  <c r="J24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<sst xmlns="http://schemas.openxmlformats.org/spreadsheetml/2006/main" count="39" uniqueCount="29">
  <si>
    <t>Item_ID</t>
  </si>
  <si>
    <t>Dept</t>
  </si>
  <si>
    <t>Units_Used</t>
  </si>
  <si>
    <t>Cost_per_Unit</t>
  </si>
  <si>
    <t>I001</t>
  </si>
  <si>
    <t>ER</t>
  </si>
  <si>
    <t>I002</t>
  </si>
  <si>
    <t>I003</t>
  </si>
  <si>
    <t>I004</t>
  </si>
  <si>
    <t>Clinic</t>
  </si>
  <si>
    <t>I005</t>
  </si>
  <si>
    <t>I006</t>
  </si>
  <si>
    <t>I007</t>
  </si>
  <si>
    <t>Imaging</t>
  </si>
  <si>
    <t>I008</t>
  </si>
  <si>
    <t>I009</t>
  </si>
  <si>
    <t>I010</t>
  </si>
  <si>
    <t>Base_Cost</t>
  </si>
  <si>
    <t>Overhead_Cost</t>
  </si>
  <si>
    <t>FIXED PARAMETERS</t>
  </si>
  <si>
    <t>Overhead_Rate</t>
  </si>
  <si>
    <t>Tax_Rate</t>
  </si>
  <si>
    <t>Tax</t>
  </si>
  <si>
    <t>Total_Cost</t>
  </si>
  <si>
    <t>REPORT</t>
  </si>
  <si>
    <t>TOTAL COST BY DEPARTMENT</t>
  </si>
  <si>
    <t>Department with highest total cost</t>
  </si>
  <si>
    <t>Value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</si>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</sst>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32171-C440-7A45-8B03-03CAA631C783}" name="Table1" displayName="Table1" ref="A1:H11" totalsRowShown="0" dataDxfId="3" dataCellStyle="Currency">
  <autoFilter ref="A1:H11" xr:uid="{3C632171-C440-7A45-8B03-03CAA631C783}"/>
  <tableColumns count="8">
    <tableColumn id="1" xr3:uid="{5651C8BC-4F96-0241-BDCD-FD582A15D1C9}" name="Item_ID"/>
    <tableColumn id="2" xr3:uid="{0555C2BF-1F93-5246-8521-94E5568E3F71}" name="Dept"/>
    <tableColumn id="3" xr3:uid="{D782BD42-D057-2649-88A8-4280BB23DA0A}" name="Units_Used"/>
    <tableColumn id="4" xr3:uid="{1C23CACA-B971-B844-87B5-55EA36DE9EDB}" name="Cost_per_Unit" dataDxfId="8" dataCellStyle="Currency"/>
    <tableColumn id="5" xr3:uid="{8678E1AA-CD4F-7A47-B559-471228E85637}" name="Base_Cost" dataDxfId="7" dataCellStyle="Currency">
      <calculatedColumnFormula>C2*D2</calculatedColumnFormula>
    </tableColumn>
    <tableColumn id="6" xr3:uid="{78C9FB59-DD41-A24B-BA6E-EFD373F77329}" name="Overhead_Cost" dataDxfId="6" dataCellStyle="Currency">
      <calculatedColumnFormula>E2*$L$19</calculatedColumnFormula>
    </tableColumn>
    <tableColumn id="7" xr3:uid="{26330C9E-1AED-4143-BBA5-EFCF263B2580}" name="Tax" dataDxfId="5" dataCellStyle="Currency">
      <calculatedColumnFormula>E2*$L$20</calculatedColumnFormula>
    </tableColumn>
    <tableColumn id="8" xr3:uid="{CF00E5F8-905E-E245-84AA-A9F0E5FAF33F}" name="Total_Cost" dataDxfId="4" dataCellStyle="Currency">
      <calculatedColumnFormula>E2+F2+G2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9719D-82AE-9C40-87C3-3F31892E2C1F}" name="Table2" displayName="Table2" ref="I23:J28" totalsRowShown="0">
  <autoFilter ref="I23:J28" xr:uid="{8129719D-82AE-9C40-87C3-3F31892E2C1F}"/>
  <tableColumns count="2">
    <tableColumn id="1" xr3:uid="{AE168259-A369-124F-80F0-405514ACC3A2}" name="TOTAL COST BY DEPARTMENT" dataDxfId="2"/>
    <tableColumn id="2" xr3:uid="{01720A18-EBCE-CF46-B933-CBBC40657C6A}" name="Cost" dataDxfId="1" dataCellStyle="Currenc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EF3DEC-08CA-DE4D-AF33-B225FE18FEF0}" name="Table3" displayName="Table3" ref="K18:L20" totalsRowShown="0" headerRowDxfId="0">
  <autoFilter ref="K18:L20" xr:uid="{AFEF3DEC-08CA-DE4D-AF33-B225FE18FEF0}"/>
  <tableColumns count="2">
    <tableColumn id="1" xr3:uid="{D99B5428-01F1-9140-9C38-ED5F144F9752}" name="FIXED PARAMETERS"/>
    <tableColumn id="2" xr3:uid="{9739EE8B-2CBA-1145-AED8-906A247ECDFC}" name="Valu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DEA1-80E2-264D-904E-63DE4E7793DD}">
  <dimension ref="A1:L28"/>
  <sheetViews>
    <sheetView tabSelected="1" workbookViewId="0">
      <selection activeCell="I22" sqref="I22:J22"/>
    </sheetView>
  </sheetViews>
  <sheetFormatPr baseColWidth="10" defaultRowHeight="16" x14ac:dyDescent="0.2"/>
  <cols>
    <col min="3" max="3" width="12.83203125" customWidth="1"/>
    <col min="4" max="4" width="15.1640625" customWidth="1"/>
    <col min="5" max="5" width="12.5" customWidth="1"/>
    <col min="6" max="6" width="16.1640625" customWidth="1"/>
    <col min="8" max="8" width="12.33203125" customWidth="1"/>
    <col min="9" max="9" width="29" customWidth="1"/>
    <col min="10" max="10" width="11" customWidth="1"/>
    <col min="11" max="11" width="19.83203125" customWidth="1"/>
    <col min="12" max="12" width="1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22</v>
      </c>
      <c r="H1" t="s">
        <v>23</v>
      </c>
    </row>
    <row r="2" spans="1:8" x14ac:dyDescent="0.2">
      <c r="A2" t="s">
        <v>4</v>
      </c>
      <c r="B2" t="s">
        <v>5</v>
      </c>
      <c r="C2">
        <v>12</v>
      </c>
      <c r="D2" s="5">
        <v>8</v>
      </c>
      <c r="E2" s="5">
        <f>C2*D2</f>
        <v>96</v>
      </c>
      <c r="F2" s="5">
        <f>E2*$L$19</f>
        <v>9.6000000000000014</v>
      </c>
      <c r="G2" s="5">
        <f>E2*$L$20</f>
        <v>4.8000000000000007</v>
      </c>
      <c r="H2" s="5">
        <f>E2+F2+G2</f>
        <v>110.39999999999999</v>
      </c>
    </row>
    <row r="3" spans="1:8" x14ac:dyDescent="0.2">
      <c r="A3" t="s">
        <v>6</v>
      </c>
      <c r="B3" t="s">
        <v>5</v>
      </c>
      <c r="C3">
        <v>7</v>
      </c>
      <c r="D3" s="5">
        <v>15</v>
      </c>
      <c r="E3" s="5">
        <f t="shared" ref="E3:E11" si="0">C3*D3</f>
        <v>105</v>
      </c>
      <c r="F3" s="5">
        <f t="shared" ref="F3:F11" si="1">E3*$L$19</f>
        <v>10.5</v>
      </c>
      <c r="G3" s="5">
        <f t="shared" ref="G3:G11" si="2">E3*$L$20</f>
        <v>5.25</v>
      </c>
      <c r="H3" s="5">
        <f t="shared" ref="H3:H11" si="3">E3+F3+G3</f>
        <v>120.75</v>
      </c>
    </row>
    <row r="4" spans="1:8" x14ac:dyDescent="0.2">
      <c r="A4" t="s">
        <v>7</v>
      </c>
      <c r="B4" t="s">
        <v>5</v>
      </c>
      <c r="C4">
        <v>20</v>
      </c>
      <c r="D4" s="5">
        <v>6</v>
      </c>
      <c r="E4" s="5">
        <f t="shared" si="0"/>
        <v>120</v>
      </c>
      <c r="F4" s="5">
        <f t="shared" si="1"/>
        <v>12</v>
      </c>
      <c r="G4" s="5">
        <f t="shared" si="2"/>
        <v>6</v>
      </c>
      <c r="H4" s="5">
        <f t="shared" si="3"/>
        <v>138</v>
      </c>
    </row>
    <row r="5" spans="1:8" x14ac:dyDescent="0.2">
      <c r="A5" t="s">
        <v>8</v>
      </c>
      <c r="B5" t="s">
        <v>9</v>
      </c>
      <c r="C5">
        <v>9</v>
      </c>
      <c r="D5" s="5">
        <v>12</v>
      </c>
      <c r="E5" s="5">
        <f t="shared" si="0"/>
        <v>108</v>
      </c>
      <c r="F5" s="5">
        <f t="shared" si="1"/>
        <v>10.8</v>
      </c>
      <c r="G5" s="5">
        <f t="shared" si="2"/>
        <v>5.4</v>
      </c>
      <c r="H5" s="5">
        <f t="shared" si="3"/>
        <v>124.2</v>
      </c>
    </row>
    <row r="6" spans="1:8" x14ac:dyDescent="0.2">
      <c r="A6" t="s">
        <v>10</v>
      </c>
      <c r="B6" t="s">
        <v>9</v>
      </c>
      <c r="C6">
        <v>14</v>
      </c>
      <c r="D6" s="5">
        <v>9</v>
      </c>
      <c r="E6" s="5">
        <f t="shared" si="0"/>
        <v>126</v>
      </c>
      <c r="F6" s="5">
        <f t="shared" si="1"/>
        <v>12.600000000000001</v>
      </c>
      <c r="G6" s="5">
        <f t="shared" si="2"/>
        <v>6.3000000000000007</v>
      </c>
      <c r="H6" s="5">
        <f t="shared" si="3"/>
        <v>144.9</v>
      </c>
    </row>
    <row r="7" spans="1:8" x14ac:dyDescent="0.2">
      <c r="A7" t="s">
        <v>11</v>
      </c>
      <c r="B7" t="s">
        <v>9</v>
      </c>
      <c r="C7">
        <v>5</v>
      </c>
      <c r="D7" s="5">
        <v>22</v>
      </c>
      <c r="E7" s="5">
        <f t="shared" si="0"/>
        <v>110</v>
      </c>
      <c r="F7" s="5">
        <f t="shared" si="1"/>
        <v>11</v>
      </c>
      <c r="G7" s="5">
        <f t="shared" si="2"/>
        <v>5.5</v>
      </c>
      <c r="H7" s="5">
        <f t="shared" si="3"/>
        <v>126.5</v>
      </c>
    </row>
    <row r="8" spans="1:8" x14ac:dyDescent="0.2">
      <c r="A8" t="s">
        <v>12</v>
      </c>
      <c r="B8" t="s">
        <v>13</v>
      </c>
      <c r="C8">
        <v>3</v>
      </c>
      <c r="D8" s="5">
        <v>120</v>
      </c>
      <c r="E8" s="5">
        <f t="shared" si="0"/>
        <v>360</v>
      </c>
      <c r="F8" s="5">
        <f t="shared" si="1"/>
        <v>36</v>
      </c>
      <c r="G8" s="5">
        <f t="shared" si="2"/>
        <v>18</v>
      </c>
      <c r="H8" s="5">
        <f t="shared" si="3"/>
        <v>414</v>
      </c>
    </row>
    <row r="9" spans="1:8" x14ac:dyDescent="0.2">
      <c r="A9" t="s">
        <v>14</v>
      </c>
      <c r="B9" t="s">
        <v>13</v>
      </c>
      <c r="C9">
        <v>6</v>
      </c>
      <c r="D9" s="5">
        <v>95</v>
      </c>
      <c r="E9" s="5">
        <f t="shared" si="0"/>
        <v>570</v>
      </c>
      <c r="F9" s="5">
        <f t="shared" si="1"/>
        <v>57</v>
      </c>
      <c r="G9" s="5">
        <f t="shared" si="2"/>
        <v>28.5</v>
      </c>
      <c r="H9" s="5">
        <f t="shared" si="3"/>
        <v>655.5</v>
      </c>
    </row>
    <row r="10" spans="1:8" x14ac:dyDescent="0.2">
      <c r="A10" t="s">
        <v>15</v>
      </c>
      <c r="B10" t="s">
        <v>13</v>
      </c>
      <c r="C10">
        <v>4</v>
      </c>
      <c r="D10" s="5">
        <v>150</v>
      </c>
      <c r="E10" s="5">
        <f t="shared" si="0"/>
        <v>600</v>
      </c>
      <c r="F10" s="5">
        <f t="shared" si="1"/>
        <v>60</v>
      </c>
      <c r="G10" s="5">
        <f t="shared" si="2"/>
        <v>30</v>
      </c>
      <c r="H10" s="5">
        <f t="shared" si="3"/>
        <v>690</v>
      </c>
    </row>
    <row r="11" spans="1:8" x14ac:dyDescent="0.2">
      <c r="A11" t="s">
        <v>16</v>
      </c>
      <c r="B11" t="s">
        <v>13</v>
      </c>
      <c r="C11">
        <v>2</v>
      </c>
      <c r="D11" s="5">
        <v>200</v>
      </c>
      <c r="E11" s="5">
        <f t="shared" si="0"/>
        <v>400</v>
      </c>
      <c r="F11" s="5">
        <f t="shared" si="1"/>
        <v>40</v>
      </c>
      <c r="G11" s="5">
        <f t="shared" si="2"/>
        <v>20</v>
      </c>
      <c r="H11" s="5">
        <f t="shared" si="3"/>
        <v>460</v>
      </c>
    </row>
    <row r="18" spans="9:12" x14ac:dyDescent="0.2">
      <c r="K18" s="1" t="s">
        <v>19</v>
      </c>
      <c r="L18" s="1" t="s">
        <v>27</v>
      </c>
    </row>
    <row r="19" spans="9:12" x14ac:dyDescent="0.2">
      <c r="K19" t="s">
        <v>20</v>
      </c>
      <c r="L19">
        <v>0.1</v>
      </c>
    </row>
    <row r="20" spans="9:12" x14ac:dyDescent="0.2">
      <c r="K20" t="s">
        <v>21</v>
      </c>
      <c r="L20">
        <v>0.05</v>
      </c>
    </row>
    <row r="22" spans="9:12" x14ac:dyDescent="0.2">
      <c r="I22" s="4" t="s">
        <v>24</v>
      </c>
      <c r="J22" s="4"/>
    </row>
    <row r="23" spans="9:12" x14ac:dyDescent="0.2">
      <c r="I23" s="2" t="s">
        <v>25</v>
      </c>
      <c r="J23" s="1" t="s">
        <v>28</v>
      </c>
      <c r="K23" s="1"/>
    </row>
    <row r="24" spans="9:12" x14ac:dyDescent="0.2">
      <c r="I24" s="3" t="s">
        <v>5</v>
      </c>
      <c r="J24" s="5">
        <f>SUMIF(B2:B11, B2, H2:H11)</f>
        <v>369.15</v>
      </c>
    </row>
    <row r="25" spans="9:12" x14ac:dyDescent="0.2">
      <c r="I25" s="3" t="s">
        <v>9</v>
      </c>
      <c r="J25" s="5">
        <f>SUMIF(B2:B11, B5, H2:H11)</f>
        <v>395.6</v>
      </c>
    </row>
    <row r="26" spans="9:12" x14ac:dyDescent="0.2">
      <c r="I26" s="3" t="s">
        <v>13</v>
      </c>
      <c r="J26" s="5">
        <f>SUMIF(B2:B11, B8, H2:H11)</f>
        <v>2219.5</v>
      </c>
    </row>
    <row r="27" spans="9:12" x14ac:dyDescent="0.2">
      <c r="I27" s="3"/>
    </row>
    <row r="28" spans="9:12" x14ac:dyDescent="0.2">
      <c r="I28" s="3" t="s">
        <v>26</v>
      </c>
      <c r="J28" t="str">
        <f>_xlfn.XLOOKUP(MAX(J24:J26),J24:J26,I24:I26,,1)</f>
        <v>Imaging</v>
      </c>
    </row>
  </sheetData>
  <mergeCells count="1">
    <mergeCell ref="I22:J2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KOSISOCHUKWU IJEOMA OBIDIEGWU</dc:creator>
  <cp:lastModifiedBy>KOSISOCHUKWU IJEOMA OBIDIEGWU</cp:lastModifiedBy>
  <dcterms:created xsi:type="dcterms:W3CDTF">2026-02-07T15:27:58Z</dcterms:created>
  <dcterms:modified xsi:type="dcterms:W3CDTF">2026-02-07T16:20:44Z</dcterms:modified>
</cp:coreProperties>
</file>