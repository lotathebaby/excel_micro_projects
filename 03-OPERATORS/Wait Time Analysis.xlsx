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tanna/Documents/excel_micro_projects/03-OPERATORS/"/>
    </mc:Choice>
  </mc:AlternateContent>
  <xr:revisionPtr revIDLastSave="0" documentId="8_{7032414F-E30F-A24E-B672-07F9553F59C7}" xr6:coauthVersionLast="47" xr6:coauthVersionMax="47" xr10:uidLastSave="{00000000-0000-0000-0000-000000000000}"/>
  <bookViews>
    <workbookView xWindow="0" yWindow="0" windowWidth="38400" windowHeight="21600" xr2:uid="{F2886F7F-622E-8145-AED0-179A430718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6" i="1" l="1"/>
  <c r="K18" i="1"/>
  <c r="K17" i="1"/>
  <c r="K16" i="1"/>
  <c r="G3" i="1"/>
  <c r="G4" i="1"/>
  <c r="G5" i="1"/>
  <c r="G6" i="1"/>
  <c r="G8" i="1"/>
  <c r="G10" i="1"/>
  <c r="G11" i="1"/>
  <c r="G12" i="1"/>
  <c r="G13" i="1"/>
  <c r="G14" i="1"/>
  <c r="G15" i="1"/>
  <c r="G17" i="1"/>
  <c r="G18" i="1"/>
  <c r="G19" i="1"/>
  <c r="G20" i="1"/>
  <c r="G21" i="1"/>
  <c r="G22" i="1"/>
  <c r="G23" i="1"/>
  <c r="G24" i="1"/>
  <c r="G25" i="1"/>
  <c r="G27" i="1"/>
  <c r="G28" i="1"/>
  <c r="G29" i="1"/>
  <c r="G30" i="1"/>
  <c r="G31" i="1"/>
  <c r="G2" i="1"/>
  <c r="F3" i="1"/>
  <c r="F4" i="1"/>
  <c r="F5" i="1"/>
  <c r="F6" i="1"/>
  <c r="F7" i="1"/>
  <c r="G7" i="1" s="1"/>
  <c r="F8" i="1"/>
  <c r="F9" i="1"/>
  <c r="G9" i="1" s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G26" i="1" s="1"/>
  <c r="F27" i="1"/>
  <c r="F28" i="1"/>
  <c r="F29" i="1"/>
  <c r="F30" i="1"/>
  <c r="F3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G16" i="1" s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K35" i="1" l="1"/>
  <c r="K34" i="1"/>
  <c r="K33" i="1"/>
</calcChain>
</file>

<file path=xl/sharedStrings.xml><?xml version="1.0" encoding="utf-8"?>
<sst xmlns="http://schemas.openxmlformats.org/spreadsheetml/2006/main" count="78" uniqueCount="49">
  <si>
    <t>Visit_ID</t>
  </si>
  <si>
    <t>Department</t>
  </si>
  <si>
    <t>Wait_Min</t>
  </si>
  <si>
    <t>Acuity (1=highest, 5=lowest)</t>
  </si>
  <si>
    <t>V001</t>
  </si>
  <si>
    <t>ER</t>
  </si>
  <si>
    <t>V002</t>
  </si>
  <si>
    <t>V003</t>
  </si>
  <si>
    <t>V004</t>
  </si>
  <si>
    <t>V005</t>
  </si>
  <si>
    <t>V006</t>
  </si>
  <si>
    <t>V007</t>
  </si>
  <si>
    <t>V008</t>
  </si>
  <si>
    <t>V009</t>
  </si>
  <si>
    <t>V010</t>
  </si>
  <si>
    <t>V011</t>
  </si>
  <si>
    <t>Clinic</t>
  </si>
  <si>
    <t>V012</t>
  </si>
  <si>
    <t>V013</t>
  </si>
  <si>
    <t>V014</t>
  </si>
  <si>
    <t>V015</t>
  </si>
  <si>
    <t>V016</t>
  </si>
  <si>
    <t>V017</t>
  </si>
  <si>
    <t>V018</t>
  </si>
  <si>
    <t>V019</t>
  </si>
  <si>
    <t>V020</t>
  </si>
  <si>
    <t>V021</t>
  </si>
  <si>
    <t>Imaging</t>
  </si>
  <si>
    <t>V022</t>
  </si>
  <si>
    <t>V023</t>
  </si>
  <si>
    <t>V024</t>
  </si>
  <si>
    <t>V025</t>
  </si>
  <si>
    <t>V026</t>
  </si>
  <si>
    <t>V027</t>
  </si>
  <si>
    <t>V028</t>
  </si>
  <si>
    <t>V029</t>
  </si>
  <si>
    <t>V030</t>
  </si>
  <si>
    <t>Breach Flag</t>
  </si>
  <si>
    <t>High_Acuity_Flag</t>
  </si>
  <si>
    <t>Risk Tier</t>
  </si>
  <si>
    <t>COUNT OF HIGH</t>
  </si>
  <si>
    <t>COUNT OF MEDIUM</t>
  </si>
  <si>
    <t>COUNT OF LOW</t>
  </si>
  <si>
    <t>DEPARTMENT WITH HIGHEST NUMBER OF HIGH RISK VISITS</t>
  </si>
  <si>
    <t>SUMMARY</t>
  </si>
  <si>
    <t>CLINIC</t>
  </si>
  <si>
    <t>IMAGING</t>
  </si>
  <si>
    <t>HIGH COUNTS PER DEPARTMENT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</si>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</sst>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6FE17A-A340-F548-A090-11ECB50187F3}" name="Table1" displayName="Table1" ref="J15:K18" totalsRowShown="0" headerRowDxfId="2">
  <autoFilter ref="J15:K18" xr:uid="{7B6FE17A-A340-F548-A090-11ECB50187F3}"/>
  <tableColumns count="2">
    <tableColumn id="1" xr3:uid="{6AE21941-315E-0843-AD16-958C2775AB32}" name="HIGH COUNTS PER DEPARTMENT" dataDxfId="3"/>
    <tableColumn id="2" xr3:uid="{F36FD75E-314C-0643-9F90-230DDD4AA16A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F77634-7E0E-084D-8B34-00747C437123}" name="Table2" displayName="Table2" ref="A1:G31" totalsRowShown="0">
  <autoFilter ref="A1:G31" xr:uid="{DFF77634-7E0E-084D-8B34-00747C437123}"/>
  <tableColumns count="7">
    <tableColumn id="1" xr3:uid="{2A5AA0F3-6213-BC44-80EE-8BD3F4558601}" name="Visit_ID"/>
    <tableColumn id="2" xr3:uid="{1F092B01-B2CF-FC48-AD2C-72388C9CC289}" name="Department"/>
    <tableColumn id="3" xr3:uid="{8AB128DA-661C-B541-BAEA-A82EC1BD55D0}" name="Wait_Min"/>
    <tableColumn id="4" xr3:uid="{8FEF1AAC-0F0A-654F-B7A5-62085312DDE7}" name="Acuity (1=highest, 5=lowest)"/>
    <tableColumn id="5" xr3:uid="{E4C73E68-A3DF-AC40-B2D6-8F132ADE0A05}" name="Breach Flag">
      <calculatedColumnFormula>IF(C2 &gt; 60, 1, 0)</calculatedColumnFormula>
    </tableColumn>
    <tableColumn id="6" xr3:uid="{603803B9-F042-4E48-8803-D2B57949D387}" name="High_Acuity_Flag">
      <calculatedColumnFormula>IF(D2 &lt;= 2, 1, 0)</calculatedColumnFormula>
    </tableColumn>
    <tableColumn id="7" xr3:uid="{91491527-8E8A-E843-B059-EABEC415FA13}" name="Risk Tier">
      <calculatedColumnFormula>IF(AND(E2,F2),"High", IF(OR(E2,F2), "Medium", "Low"))</calculatedColumnFormula>
    </tableColumn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5FCBD3-B049-1141-9EB6-51AF52E5673D}" name="Table3" displayName="Table3" ref="J32:K36" totalsRowShown="0" headerRowDxfId="0">
  <autoFilter ref="J32:K36" xr:uid="{8E5FCBD3-B049-1141-9EB6-51AF52E5673D}"/>
  <tableColumns count="2">
    <tableColumn id="1" xr3:uid="{F6B331CE-3F6D-8940-8F90-B67EE5D77807}" name="SUMMARY" dataDxfId="1"/>
    <tableColumn id="2" xr3:uid="{6D9FCF35-8D80-C748-82E6-3BEBF71E2989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4E277-37AB-6244-BA42-966806F2A090}">
  <dimension ref="A1:K36"/>
  <sheetViews>
    <sheetView tabSelected="1" topLeftCell="B1" workbookViewId="0">
      <selection activeCell="E2" sqref="E2"/>
    </sheetView>
  </sheetViews>
  <sheetFormatPr baseColWidth="10" defaultRowHeight="16" x14ac:dyDescent="0.2"/>
  <cols>
    <col min="2" max="2" width="13.5" customWidth="1"/>
    <col min="3" max="3" width="11.1640625" customWidth="1"/>
    <col min="4" max="4" width="28.83203125" customWidth="1"/>
    <col min="5" max="5" width="13.1640625" customWidth="1"/>
    <col min="6" max="6" width="20.6640625" customWidth="1"/>
    <col min="10" max="10" width="55.1640625" customWidth="1"/>
    <col min="11" max="11" width="1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37</v>
      </c>
      <c r="F1" t="s">
        <v>38</v>
      </c>
      <c r="G1" t="s">
        <v>39</v>
      </c>
    </row>
    <row r="2" spans="1:11" x14ac:dyDescent="0.2">
      <c r="A2" t="s">
        <v>4</v>
      </c>
      <c r="B2" t="s">
        <v>5</v>
      </c>
      <c r="C2">
        <v>12</v>
      </c>
      <c r="D2">
        <v>2</v>
      </c>
      <c r="E2">
        <f>IF(C2 &gt; 60, 1, 0)</f>
        <v>0</v>
      </c>
      <c r="F2">
        <f>IF(D2 &lt;= 2, 1, 0)</f>
        <v>1</v>
      </c>
      <c r="G2" t="str">
        <f>IF(AND(E2,F2),"High", IF(OR(E2,F2), "Medium", "Low"))</f>
        <v>Medium</v>
      </c>
    </row>
    <row r="3" spans="1:11" x14ac:dyDescent="0.2">
      <c r="A3" t="s">
        <v>6</v>
      </c>
      <c r="B3" t="s">
        <v>5</v>
      </c>
      <c r="C3">
        <v>44</v>
      </c>
      <c r="D3">
        <v>3</v>
      </c>
      <c r="E3">
        <f t="shared" ref="E3:E31" si="0">IF(C3 &gt; 60, 1, 0)</f>
        <v>0</v>
      </c>
      <c r="F3">
        <f t="shared" ref="F3:F31" si="1">IF(D3 &lt;= 2, 1, 0)</f>
        <v>0</v>
      </c>
      <c r="G3" t="str">
        <f t="shared" ref="G3:G31" si="2">IF(AND(E3,F3),"High", IF(OR(E3,F3), "Medium", "Low"))</f>
        <v>Low</v>
      </c>
    </row>
    <row r="4" spans="1:11" x14ac:dyDescent="0.2">
      <c r="A4" t="s">
        <v>7</v>
      </c>
      <c r="B4" t="s">
        <v>5</v>
      </c>
      <c r="C4">
        <v>71</v>
      </c>
      <c r="D4">
        <v>4</v>
      </c>
      <c r="E4">
        <f t="shared" si="0"/>
        <v>1</v>
      </c>
      <c r="F4">
        <f t="shared" si="1"/>
        <v>0</v>
      </c>
      <c r="G4" t="str">
        <f t="shared" si="2"/>
        <v>Medium</v>
      </c>
    </row>
    <row r="5" spans="1:11" x14ac:dyDescent="0.2">
      <c r="A5" t="s">
        <v>8</v>
      </c>
      <c r="B5" t="s">
        <v>5</v>
      </c>
      <c r="C5">
        <v>95</v>
      </c>
      <c r="D5">
        <v>3</v>
      </c>
      <c r="E5">
        <f t="shared" si="0"/>
        <v>1</v>
      </c>
      <c r="F5">
        <f t="shared" si="1"/>
        <v>0</v>
      </c>
      <c r="G5" t="str">
        <f t="shared" si="2"/>
        <v>Medium</v>
      </c>
    </row>
    <row r="6" spans="1:11" x14ac:dyDescent="0.2">
      <c r="A6" t="s">
        <v>9</v>
      </c>
      <c r="B6" t="s">
        <v>5</v>
      </c>
      <c r="C6">
        <v>28</v>
      </c>
      <c r="D6">
        <v>2</v>
      </c>
      <c r="E6">
        <f t="shared" si="0"/>
        <v>0</v>
      </c>
      <c r="F6">
        <f t="shared" si="1"/>
        <v>1</v>
      </c>
      <c r="G6" t="str">
        <f t="shared" si="2"/>
        <v>Medium</v>
      </c>
    </row>
    <row r="7" spans="1:11" x14ac:dyDescent="0.2">
      <c r="A7" t="s">
        <v>10</v>
      </c>
      <c r="B7" t="s">
        <v>5</v>
      </c>
      <c r="C7">
        <v>66</v>
      </c>
      <c r="D7">
        <v>1</v>
      </c>
      <c r="E7">
        <f t="shared" si="0"/>
        <v>1</v>
      </c>
      <c r="F7">
        <f t="shared" si="1"/>
        <v>1</v>
      </c>
      <c r="G7" t="str">
        <f t="shared" si="2"/>
        <v>High</v>
      </c>
    </row>
    <row r="8" spans="1:11" x14ac:dyDescent="0.2">
      <c r="A8" t="s">
        <v>11</v>
      </c>
      <c r="B8" t="s">
        <v>5</v>
      </c>
      <c r="C8">
        <v>39</v>
      </c>
      <c r="D8">
        <v>1</v>
      </c>
      <c r="E8">
        <f t="shared" si="0"/>
        <v>0</v>
      </c>
      <c r="F8">
        <f t="shared" si="1"/>
        <v>1</v>
      </c>
      <c r="G8" t="str">
        <f t="shared" si="2"/>
        <v>Medium</v>
      </c>
    </row>
    <row r="9" spans="1:11" x14ac:dyDescent="0.2">
      <c r="A9" t="s">
        <v>12</v>
      </c>
      <c r="B9" t="s">
        <v>5</v>
      </c>
      <c r="C9">
        <v>82</v>
      </c>
      <c r="D9">
        <v>2</v>
      </c>
      <c r="E9">
        <f t="shared" si="0"/>
        <v>1</v>
      </c>
      <c r="F9">
        <f t="shared" si="1"/>
        <v>1</v>
      </c>
      <c r="G9" t="str">
        <f t="shared" si="2"/>
        <v>High</v>
      </c>
    </row>
    <row r="10" spans="1:11" x14ac:dyDescent="0.2">
      <c r="A10" t="s">
        <v>13</v>
      </c>
      <c r="B10" t="s">
        <v>5</v>
      </c>
      <c r="C10">
        <v>55</v>
      </c>
      <c r="D10">
        <v>3</v>
      </c>
      <c r="E10">
        <f t="shared" si="0"/>
        <v>0</v>
      </c>
      <c r="F10">
        <f t="shared" si="1"/>
        <v>0</v>
      </c>
      <c r="G10" t="str">
        <f t="shared" si="2"/>
        <v>Low</v>
      </c>
    </row>
    <row r="11" spans="1:11" x14ac:dyDescent="0.2">
      <c r="A11" t="s">
        <v>14</v>
      </c>
      <c r="B11" t="s">
        <v>5</v>
      </c>
      <c r="C11">
        <v>18</v>
      </c>
      <c r="D11">
        <v>2</v>
      </c>
      <c r="E11">
        <f t="shared" si="0"/>
        <v>0</v>
      </c>
      <c r="F11">
        <f t="shared" si="1"/>
        <v>1</v>
      </c>
      <c r="G11" t="str">
        <f t="shared" si="2"/>
        <v>Medium</v>
      </c>
    </row>
    <row r="12" spans="1:11" x14ac:dyDescent="0.2">
      <c r="A12" t="s">
        <v>15</v>
      </c>
      <c r="B12" t="s">
        <v>16</v>
      </c>
      <c r="C12">
        <v>9</v>
      </c>
      <c r="D12">
        <v>4</v>
      </c>
      <c r="E12">
        <f t="shared" si="0"/>
        <v>0</v>
      </c>
      <c r="F12">
        <f t="shared" si="1"/>
        <v>0</v>
      </c>
      <c r="G12" t="str">
        <f t="shared" si="2"/>
        <v>Low</v>
      </c>
    </row>
    <row r="13" spans="1:11" x14ac:dyDescent="0.2">
      <c r="A13" t="s">
        <v>17</v>
      </c>
      <c r="B13" t="s">
        <v>16</v>
      </c>
      <c r="C13">
        <v>22</v>
      </c>
      <c r="D13">
        <v>5</v>
      </c>
      <c r="E13">
        <f t="shared" si="0"/>
        <v>0</v>
      </c>
      <c r="F13">
        <f t="shared" si="1"/>
        <v>0</v>
      </c>
      <c r="G13" t="str">
        <f t="shared" si="2"/>
        <v>Low</v>
      </c>
    </row>
    <row r="14" spans="1:11" x14ac:dyDescent="0.2">
      <c r="A14" t="s">
        <v>18</v>
      </c>
      <c r="B14" t="s">
        <v>16</v>
      </c>
      <c r="C14">
        <v>35</v>
      </c>
      <c r="D14">
        <v>3</v>
      </c>
      <c r="E14">
        <f t="shared" si="0"/>
        <v>0</v>
      </c>
      <c r="F14">
        <f t="shared" si="1"/>
        <v>0</v>
      </c>
      <c r="G14" t="str">
        <f t="shared" si="2"/>
        <v>Low</v>
      </c>
    </row>
    <row r="15" spans="1:11" x14ac:dyDescent="0.2">
      <c r="A15" t="s">
        <v>19</v>
      </c>
      <c r="B15" t="s">
        <v>16</v>
      </c>
      <c r="C15">
        <v>47</v>
      </c>
      <c r="D15">
        <v>4</v>
      </c>
      <c r="E15">
        <f t="shared" si="0"/>
        <v>0</v>
      </c>
      <c r="F15">
        <f t="shared" si="1"/>
        <v>0</v>
      </c>
      <c r="G15" t="str">
        <f t="shared" si="2"/>
        <v>Low</v>
      </c>
      <c r="J15" s="2" t="s">
        <v>47</v>
      </c>
      <c r="K15" s="2" t="s">
        <v>48</v>
      </c>
    </row>
    <row r="16" spans="1:11" x14ac:dyDescent="0.2">
      <c r="A16" t="s">
        <v>20</v>
      </c>
      <c r="B16" t="s">
        <v>16</v>
      </c>
      <c r="C16">
        <v>88</v>
      </c>
      <c r="D16">
        <v>2</v>
      </c>
      <c r="E16">
        <f t="shared" si="0"/>
        <v>1</v>
      </c>
      <c r="F16">
        <f t="shared" si="1"/>
        <v>1</v>
      </c>
      <c r="G16" t="str">
        <f t="shared" si="2"/>
        <v>High</v>
      </c>
      <c r="J16" s="1" t="s">
        <v>5</v>
      </c>
      <c r="K16">
        <f>COUNTIFS(B2:B31, B7, G2:G31, G16)</f>
        <v>2</v>
      </c>
    </row>
    <row r="17" spans="1:11" x14ac:dyDescent="0.2">
      <c r="A17" t="s">
        <v>21</v>
      </c>
      <c r="B17" t="s">
        <v>16</v>
      </c>
      <c r="C17">
        <v>64</v>
      </c>
      <c r="D17">
        <v>2</v>
      </c>
      <c r="E17">
        <f t="shared" si="0"/>
        <v>1</v>
      </c>
      <c r="F17">
        <f t="shared" si="1"/>
        <v>1</v>
      </c>
      <c r="G17" t="str">
        <f t="shared" si="2"/>
        <v>High</v>
      </c>
      <c r="J17" s="1" t="s">
        <v>45</v>
      </c>
      <c r="K17">
        <f>COUNTIFS(B2:B31, B13, G2:G31, G18)</f>
        <v>3</v>
      </c>
    </row>
    <row r="18" spans="1:11" x14ac:dyDescent="0.2">
      <c r="A18" t="s">
        <v>22</v>
      </c>
      <c r="B18" t="s">
        <v>16</v>
      </c>
      <c r="C18">
        <v>75</v>
      </c>
      <c r="D18">
        <v>1</v>
      </c>
      <c r="E18">
        <f t="shared" si="0"/>
        <v>1</v>
      </c>
      <c r="F18">
        <f t="shared" si="1"/>
        <v>1</v>
      </c>
      <c r="G18" t="str">
        <f t="shared" si="2"/>
        <v>High</v>
      </c>
      <c r="J18" s="1" t="s">
        <v>46</v>
      </c>
      <c r="K18">
        <f>COUNTIFS(B2:B31, B27, G2:G31, G18)</f>
        <v>1</v>
      </c>
    </row>
    <row r="19" spans="1:11" x14ac:dyDescent="0.2">
      <c r="A19" t="s">
        <v>23</v>
      </c>
      <c r="B19" t="s">
        <v>16</v>
      </c>
      <c r="C19">
        <v>41</v>
      </c>
      <c r="D19">
        <v>2</v>
      </c>
      <c r="E19">
        <f t="shared" si="0"/>
        <v>0</v>
      </c>
      <c r="F19">
        <f t="shared" si="1"/>
        <v>1</v>
      </c>
      <c r="G19" t="str">
        <f t="shared" si="2"/>
        <v>Medium</v>
      </c>
    </row>
    <row r="20" spans="1:11" x14ac:dyDescent="0.2">
      <c r="A20" t="s">
        <v>24</v>
      </c>
      <c r="B20" t="s">
        <v>16</v>
      </c>
      <c r="C20">
        <v>16</v>
      </c>
      <c r="D20">
        <v>4</v>
      </c>
      <c r="E20">
        <f t="shared" si="0"/>
        <v>0</v>
      </c>
      <c r="F20">
        <f t="shared" si="1"/>
        <v>0</v>
      </c>
      <c r="G20" t="str">
        <f t="shared" si="2"/>
        <v>Low</v>
      </c>
    </row>
    <row r="21" spans="1:11" x14ac:dyDescent="0.2">
      <c r="A21" t="s">
        <v>25</v>
      </c>
      <c r="B21" t="s">
        <v>16</v>
      </c>
      <c r="C21">
        <v>29</v>
      </c>
      <c r="D21">
        <v>3</v>
      </c>
      <c r="E21">
        <f t="shared" si="0"/>
        <v>0</v>
      </c>
      <c r="F21">
        <f t="shared" si="1"/>
        <v>0</v>
      </c>
      <c r="G21" t="str">
        <f t="shared" si="2"/>
        <v>Low</v>
      </c>
    </row>
    <row r="22" spans="1:11" x14ac:dyDescent="0.2">
      <c r="A22" t="s">
        <v>26</v>
      </c>
      <c r="B22" t="s">
        <v>27</v>
      </c>
      <c r="C22">
        <v>7</v>
      </c>
      <c r="D22">
        <v>5</v>
      </c>
      <c r="E22">
        <f t="shared" si="0"/>
        <v>0</v>
      </c>
      <c r="F22">
        <f t="shared" si="1"/>
        <v>0</v>
      </c>
      <c r="G22" t="str">
        <f t="shared" si="2"/>
        <v>Low</v>
      </c>
    </row>
    <row r="23" spans="1:11" x14ac:dyDescent="0.2">
      <c r="A23" t="s">
        <v>28</v>
      </c>
      <c r="B23" t="s">
        <v>27</v>
      </c>
      <c r="C23">
        <v>19</v>
      </c>
      <c r="D23">
        <v>4</v>
      </c>
      <c r="E23">
        <f t="shared" si="0"/>
        <v>0</v>
      </c>
      <c r="F23">
        <f t="shared" si="1"/>
        <v>0</v>
      </c>
      <c r="G23" t="str">
        <f t="shared" si="2"/>
        <v>Low</v>
      </c>
    </row>
    <row r="24" spans="1:11" x14ac:dyDescent="0.2">
      <c r="A24" t="s">
        <v>29</v>
      </c>
      <c r="B24" t="s">
        <v>27</v>
      </c>
      <c r="C24">
        <v>33</v>
      </c>
      <c r="D24">
        <v>3</v>
      </c>
      <c r="E24">
        <f t="shared" si="0"/>
        <v>0</v>
      </c>
      <c r="F24">
        <f t="shared" si="1"/>
        <v>0</v>
      </c>
      <c r="G24" t="str">
        <f t="shared" si="2"/>
        <v>Low</v>
      </c>
    </row>
    <row r="25" spans="1:11" x14ac:dyDescent="0.2">
      <c r="A25" t="s">
        <v>30</v>
      </c>
      <c r="B25" t="s">
        <v>27</v>
      </c>
      <c r="C25">
        <v>46</v>
      </c>
      <c r="D25">
        <v>2</v>
      </c>
      <c r="E25">
        <f t="shared" si="0"/>
        <v>0</v>
      </c>
      <c r="F25">
        <f t="shared" si="1"/>
        <v>1</v>
      </c>
      <c r="G25" t="str">
        <f t="shared" si="2"/>
        <v>Medium</v>
      </c>
    </row>
    <row r="26" spans="1:11" x14ac:dyDescent="0.2">
      <c r="A26" t="s">
        <v>31</v>
      </c>
      <c r="B26" t="s">
        <v>27</v>
      </c>
      <c r="C26">
        <v>62</v>
      </c>
      <c r="D26">
        <v>1</v>
      </c>
      <c r="E26">
        <f t="shared" si="0"/>
        <v>1</v>
      </c>
      <c r="F26">
        <f t="shared" si="1"/>
        <v>1</v>
      </c>
      <c r="G26" t="str">
        <f t="shared" si="2"/>
        <v>High</v>
      </c>
    </row>
    <row r="27" spans="1:11" x14ac:dyDescent="0.2">
      <c r="A27" t="s">
        <v>32</v>
      </c>
      <c r="B27" t="s">
        <v>27</v>
      </c>
      <c r="C27">
        <v>88</v>
      </c>
      <c r="D27">
        <v>4</v>
      </c>
      <c r="E27">
        <f t="shared" si="0"/>
        <v>1</v>
      </c>
      <c r="F27">
        <f t="shared" si="1"/>
        <v>0</v>
      </c>
      <c r="G27" t="str">
        <f t="shared" si="2"/>
        <v>Medium</v>
      </c>
    </row>
    <row r="28" spans="1:11" x14ac:dyDescent="0.2">
      <c r="A28" t="s">
        <v>33</v>
      </c>
      <c r="B28" t="s">
        <v>27</v>
      </c>
      <c r="C28">
        <v>54</v>
      </c>
      <c r="D28">
        <v>2</v>
      </c>
      <c r="E28">
        <f t="shared" si="0"/>
        <v>0</v>
      </c>
      <c r="F28">
        <f t="shared" si="1"/>
        <v>1</v>
      </c>
      <c r="G28" t="str">
        <f t="shared" si="2"/>
        <v>Medium</v>
      </c>
    </row>
    <row r="29" spans="1:11" x14ac:dyDescent="0.2">
      <c r="A29" t="s">
        <v>34</v>
      </c>
      <c r="B29" t="s">
        <v>27</v>
      </c>
      <c r="C29">
        <v>27</v>
      </c>
      <c r="D29">
        <v>5</v>
      </c>
      <c r="E29">
        <f t="shared" si="0"/>
        <v>0</v>
      </c>
      <c r="F29">
        <f t="shared" si="1"/>
        <v>0</v>
      </c>
      <c r="G29" t="str">
        <f t="shared" si="2"/>
        <v>Low</v>
      </c>
    </row>
    <row r="30" spans="1:11" x14ac:dyDescent="0.2">
      <c r="A30" t="s">
        <v>35</v>
      </c>
      <c r="B30" t="s">
        <v>27</v>
      </c>
      <c r="C30">
        <v>73</v>
      </c>
      <c r="D30">
        <v>3</v>
      </c>
      <c r="E30">
        <f t="shared" si="0"/>
        <v>1</v>
      </c>
      <c r="F30">
        <f t="shared" si="1"/>
        <v>0</v>
      </c>
      <c r="G30" t="str">
        <f t="shared" si="2"/>
        <v>Medium</v>
      </c>
    </row>
    <row r="31" spans="1:11" x14ac:dyDescent="0.2">
      <c r="A31" t="s">
        <v>36</v>
      </c>
      <c r="B31" t="s">
        <v>27</v>
      </c>
      <c r="C31">
        <v>11</v>
      </c>
      <c r="D31">
        <v>4</v>
      </c>
      <c r="E31">
        <f t="shared" si="0"/>
        <v>0</v>
      </c>
      <c r="F31">
        <f t="shared" si="1"/>
        <v>0</v>
      </c>
      <c r="G31" t="str">
        <f t="shared" si="2"/>
        <v>Low</v>
      </c>
    </row>
    <row r="32" spans="1:11" x14ac:dyDescent="0.2">
      <c r="J32" s="2" t="s">
        <v>44</v>
      </c>
      <c r="K32" s="2" t="s">
        <v>48</v>
      </c>
    </row>
    <row r="33" spans="10:11" x14ac:dyDescent="0.2">
      <c r="J33" s="1" t="s">
        <v>40</v>
      </c>
      <c r="K33">
        <f>COUNTIF(G2:G31, "High")</f>
        <v>6</v>
      </c>
    </row>
    <row r="34" spans="10:11" x14ac:dyDescent="0.2">
      <c r="J34" s="1" t="s">
        <v>41</v>
      </c>
      <c r="K34">
        <f>COUNTIF(G2:G31, G25)</f>
        <v>11</v>
      </c>
    </row>
    <row r="35" spans="10:11" x14ac:dyDescent="0.2">
      <c r="J35" s="1" t="s">
        <v>42</v>
      </c>
      <c r="K35">
        <f>COUNTIF(G2:G31, G29)</f>
        <v>13</v>
      </c>
    </row>
    <row r="36" spans="10:11" x14ac:dyDescent="0.2">
      <c r="J36" s="1" t="s">
        <v>43</v>
      </c>
      <c r="K36" t="str">
        <f>_xlfn.XLOOKUP(MAX(K16:K18), K16:K18, J16:J18, , 1)</f>
        <v>CLINIC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KOSISOCHUKWU IJEOMA OBIDIEGWU</dc:creator>
  <cp:lastModifiedBy>KOSISOCHUKWU IJEOMA OBIDIEGWU</cp:lastModifiedBy>
  <dcterms:created xsi:type="dcterms:W3CDTF">2026-02-07T05:52:23Z</dcterms:created>
  <dcterms:modified xsi:type="dcterms:W3CDTF">2026-02-07T15:21:52Z</dcterms:modified>
</cp:coreProperties>
</file>